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ybrordussat\Documents\"/>
    </mc:Choice>
  </mc:AlternateContent>
  <xr:revisionPtr revIDLastSave="0" documentId="8_{A94C00D7-112B-481E-926E-34F47B05A8EB}" xr6:coauthVersionLast="47" xr6:coauthVersionMax="47" xr10:uidLastSave="{00000000-0000-0000-0000-000000000000}"/>
  <bookViews>
    <workbookView xWindow="-110" yWindow="-110" windowWidth="19420" windowHeight="10300" xr2:uid="{DB79EC1C-5664-4301-9CA8-AFFEC9831236}"/>
  </bookViews>
  <sheets>
    <sheet name="Area - Red Priority" sheetId="1" r:id="rId1"/>
    <sheet name="Area - HIT" sheetId="3" r:id="rId2"/>
    <sheet name="Region - Gadis Merdeka" sheetId="4" r:id="rId3"/>
    <sheet name="Region - Top Gu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9" i="3" l="1"/>
  <c r="G19" i="3"/>
  <c r="F19" i="3"/>
  <c r="E19" i="3"/>
  <c r="D19" i="3"/>
</calcChain>
</file>

<file path=xl/sharedStrings.xml><?xml version="1.0" encoding="utf-8"?>
<sst xmlns="http://schemas.openxmlformats.org/spreadsheetml/2006/main" count="304" uniqueCount="96">
  <si>
    <t>BRANCH</t>
  </si>
  <si>
    <t>KOTA/KAB</t>
  </si>
  <si>
    <t>PS Tsel One Juli MTD</t>
  </si>
  <si>
    <t>MOM</t>
  </si>
  <si>
    <t>BASELINE TARGET AGUSTUS</t>
  </si>
  <si>
    <t>KUOTA PROGRAM</t>
  </si>
  <si>
    <t>KUOTA TERPAKAI</t>
  </si>
  <si>
    <t>SISA KUOTA</t>
  </si>
  <si>
    <t>% Kuota Terserap</t>
  </si>
  <si>
    <t>% Ach to Baseline</t>
  </si>
  <si>
    <t>Pass Baseline</t>
  </si>
  <si>
    <t>PEKALONGAN</t>
  </si>
  <si>
    <t>KOTA PEKALONGAN</t>
  </si>
  <si>
    <t>BATANG</t>
  </si>
  <si>
    <t>PEMALANG</t>
  </si>
  <si>
    <t>PURBALINGGA</t>
  </si>
  <si>
    <t>BREBES</t>
  </si>
  <si>
    <t>KOTA TEGAL</t>
  </si>
  <si>
    <t>TEGAL</t>
  </si>
  <si>
    <t>SURAKARTA</t>
  </si>
  <si>
    <t>KLATEN</t>
  </si>
  <si>
    <t>YOGYAKARTA</t>
  </si>
  <si>
    <t>KULON PROGO</t>
  </si>
  <si>
    <t>GROBOGAN</t>
  </si>
  <si>
    <t>BLORA</t>
  </si>
  <si>
    <t>KOTA SEMARANG</t>
  </si>
  <si>
    <t>CILACAP</t>
  </si>
  <si>
    <t>BOYOLALI</t>
  </si>
  <si>
    <t>KENDAL</t>
  </si>
  <si>
    <t>SLEMAN</t>
  </si>
  <si>
    <t>BANJARNEGARA</t>
  </si>
  <si>
    <t>JEPARA</t>
  </si>
  <si>
    <t>KEBUMEN</t>
  </si>
  <si>
    <t>KOTA MAGELANG</t>
  </si>
  <si>
    <t>KOTA SALATIGA</t>
  </si>
  <si>
    <t>KOTA SURAKARTA</t>
  </si>
  <si>
    <t>KUDUS</t>
  </si>
  <si>
    <t>SRAGEN</t>
  </si>
  <si>
    <t>NOT PASS</t>
  </si>
  <si>
    <t>SEMARANG</t>
  </si>
  <si>
    <t>PURWOKERTO</t>
  </si>
  <si>
    <t>MAGELANG</t>
  </si>
  <si>
    <t>PS TSEl ONE  MTD AGUSTUS</t>
  </si>
  <si>
    <t>Branch</t>
  </si>
  <si>
    <t>WOK</t>
  </si>
  <si>
    <t>WL ODP HIT</t>
  </si>
  <si>
    <t>Realisasi ODP</t>
  </si>
  <si>
    <t>Valid ODP based on kuota</t>
  </si>
  <si>
    <t>Total Port WL</t>
  </si>
  <si>
    <t>OCC WL</t>
  </si>
  <si>
    <t>YOGYA 2</t>
  </si>
  <si>
    <t>MAGELANG TEMANGGUNG</t>
  </si>
  <si>
    <t>PEMALANG PURBALINGGA</t>
  </si>
  <si>
    <t>JEPARA KUDUS - PATI</t>
  </si>
  <si>
    <t>WONOSOBO BANJARNEGARA</t>
  </si>
  <si>
    <t>CILACAP BANYUMAS</t>
  </si>
  <si>
    <t>YOGYA 1</t>
  </si>
  <si>
    <t>TEGAL BREBES</t>
  </si>
  <si>
    <t>SEMARANG 2</t>
  </si>
  <si>
    <t>DEMAK</t>
  </si>
  <si>
    <t>SEMARANG 1</t>
  </si>
  <si>
    <t>Target ODP</t>
  </si>
  <si>
    <t>% Ach Target</t>
  </si>
  <si>
    <t>Shortage To Target</t>
  </si>
  <si>
    <t>Port Used (Total PS)</t>
  </si>
  <si>
    <t>Insentif</t>
  </si>
  <si>
    <t>Jateng DIY</t>
  </si>
  <si>
    <t>Monitoring Program Gadis Merdeka</t>
  </si>
  <si>
    <t>City</t>
  </si>
  <si>
    <t>Target Takers</t>
  </si>
  <si>
    <t>Realisasi</t>
  </si>
  <si>
    <t>% Ach</t>
  </si>
  <si>
    <t>PS GF</t>
  </si>
  <si>
    <t>% PS GF</t>
  </si>
  <si>
    <t>PURWOREJO</t>
  </si>
  <si>
    <t>TEMANGGUNG</t>
  </si>
  <si>
    <t>BANYUMAS</t>
  </si>
  <si>
    <t>WONOSOBO</t>
  </si>
  <si>
    <t>PATI</t>
  </si>
  <si>
    <t>SUKOHARJO</t>
  </si>
  <si>
    <t>KARANGANYAR</t>
  </si>
  <si>
    <t>WONOGIRI</t>
  </si>
  <si>
    <t>GUNUNG KIDUL</t>
  </si>
  <si>
    <t>KOTA YOGYAKARTA</t>
  </si>
  <si>
    <t>BANTUL</t>
  </si>
  <si>
    <t>Report Tracking Program - TOPGUN Salesforce</t>
  </si>
  <si>
    <t>SF Register</t>
  </si>
  <si>
    <t>SF Aktif PS Tsel One</t>
  </si>
  <si>
    <t>% SF Aktif PS Tsel One</t>
  </si>
  <si>
    <t>Total PS Tsel One</t>
  </si>
  <si>
    <t>SF Eligible Insentif</t>
  </si>
  <si>
    <t>Grand Total</t>
  </si>
  <si>
    <t>tinyurl.com/TOPGUNJTD</t>
  </si>
  <si>
    <t>tinyurl.com/GadisMerdeka</t>
  </si>
  <si>
    <t>https://s.id/dashboardhit360</t>
  </si>
  <si>
    <t>https://bit.ly/MonitoringProgramHH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</si>
</sst>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Poppins"/>
    </font>
    <font>
      <b/>
      <sz val="8"/>
      <color theme="0"/>
      <name val="Poppins"/>
    </font>
    <font>
      <b/>
      <sz val="10"/>
      <color theme="1"/>
      <name val="Poppins"/>
    </font>
    <font>
      <sz val="9"/>
      <color theme="1"/>
      <name val="Poppins"/>
    </font>
    <font>
      <b/>
      <i/>
      <sz val="8"/>
      <color theme="1"/>
      <name val="Poppins"/>
    </font>
    <font>
      <i/>
      <sz val="9"/>
      <color theme="1"/>
      <name val="Poppins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9" fontId="2" fillId="4" borderId="1" xfId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0" fontId="3" fillId="6" borderId="5" xfId="0" applyFont="1" applyFill="1" applyBorder="1"/>
    <xf numFmtId="0" fontId="3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5" xfId="0" applyFont="1" applyFill="1" applyBorder="1"/>
    <xf numFmtId="3" fontId="3" fillId="2" borderId="5" xfId="0" applyNumberFormat="1" applyFont="1" applyFill="1" applyBorder="1" applyAlignment="1">
      <alignment horizontal="center"/>
    </xf>
    <xf numFmtId="10" fontId="3" fillId="2" borderId="5" xfId="0" applyNumberFormat="1" applyFont="1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4" fillId="5" borderId="0" xfId="0" applyFont="1" applyFill="1"/>
    <xf numFmtId="0" fontId="2" fillId="5" borderId="0" xfId="0" applyFont="1" applyFill="1"/>
    <xf numFmtId="15" fontId="6" fillId="5" borderId="0" xfId="0" applyNumberFormat="1" applyFont="1" applyFill="1"/>
    <xf numFmtId="0" fontId="3" fillId="8" borderId="5" xfId="0" applyFont="1" applyFill="1" applyBorder="1" applyAlignment="1">
      <alignment vertical="center"/>
    </xf>
    <xf numFmtId="0" fontId="3" fillId="8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5" borderId="0" xfId="0" applyFont="1" applyFill="1"/>
    <xf numFmtId="15" fontId="7" fillId="5" borderId="0" xfId="0" applyNumberFormat="1" applyFont="1" applyFill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8" fillId="0" borderId="0" xfId="0" applyFont="1"/>
    <xf numFmtId="0" fontId="9" fillId="0" borderId="0" xfId="0" applyFon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49AA43F-38A9-3549-9BA1-F3B2C855D188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9d1fe1dd-cafb-423b-9796-cf7f956edeb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75C2734F-AD75-6645-BE89-3EDB194DEB57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bf0fe138-fe56-4b8d-831c-aa8625577fe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9BD8C474-6137-5A41-8588-C81F4D39DF7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5db4afd-71ed-41b1-b480-3e46dcbbf6f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E830-81E9-472F-A47A-1A82B95BC85F}">
  <dimension ref="B2:M29"/>
  <sheetViews>
    <sheetView tabSelected="1" workbookViewId="0">
      <selection activeCell="F31" sqref="F31"/>
    </sheetView>
  </sheetViews>
  <sheetFormatPr defaultRowHeight="14.5" x14ac:dyDescent="0.35"/>
  <cols>
    <col min="2" max="2" width="11.08984375" customWidth="1"/>
    <col min="3" max="3" width="14.54296875" bestFit="1" customWidth="1"/>
    <col min="4" max="8" width="11.08984375" customWidth="1"/>
    <col min="9" max="9" width="9.08984375" customWidth="1"/>
    <col min="10" max="10" width="7.54296875" customWidth="1"/>
    <col min="11" max="11" width="8.90625" customWidth="1"/>
    <col min="12" max="12" width="8.54296875" customWidth="1"/>
    <col min="13" max="13" width="11.08984375" customWidth="1"/>
  </cols>
  <sheetData>
    <row r="2" spans="2:13" ht="46.5" x14ac:dyDescent="0.35">
      <c r="B2" s="6" t="s">
        <v>0</v>
      </c>
      <c r="C2" s="6" t="s">
        <v>1</v>
      </c>
      <c r="D2" s="7" t="s">
        <v>2</v>
      </c>
      <c r="E2" s="7" t="s">
        <v>42</v>
      </c>
      <c r="F2" s="7" t="s">
        <v>3</v>
      </c>
      <c r="G2" s="7" t="s">
        <v>4</v>
      </c>
      <c r="H2" s="7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</row>
    <row r="3" spans="2:13" ht="17.5" x14ac:dyDescent="0.65">
      <c r="B3" s="9" t="s">
        <v>41</v>
      </c>
      <c r="C3" s="9" t="s">
        <v>32</v>
      </c>
      <c r="D3" s="10">
        <v>9</v>
      </c>
      <c r="E3" s="10">
        <v>16</v>
      </c>
      <c r="F3" s="11">
        <v>0.77777777777777768</v>
      </c>
      <c r="G3" s="12">
        <v>182</v>
      </c>
      <c r="H3" s="10">
        <v>22</v>
      </c>
      <c r="I3" s="9"/>
      <c r="J3" s="9"/>
      <c r="K3" s="10">
        <v>0</v>
      </c>
      <c r="L3" s="13">
        <v>8.7912087912087919E-2</v>
      </c>
      <c r="M3" s="10" t="s">
        <v>38</v>
      </c>
    </row>
    <row r="4" spans="2:13" ht="17.5" x14ac:dyDescent="0.65">
      <c r="B4" s="9" t="s">
        <v>41</v>
      </c>
      <c r="C4" s="9" t="s">
        <v>33</v>
      </c>
      <c r="D4" s="10">
        <v>6</v>
      </c>
      <c r="E4" s="10">
        <v>6</v>
      </c>
      <c r="F4" s="11">
        <v>0</v>
      </c>
      <c r="G4" s="12">
        <v>114</v>
      </c>
      <c r="H4" s="10">
        <v>15</v>
      </c>
      <c r="I4" s="9"/>
      <c r="J4" s="9"/>
      <c r="K4" s="10">
        <v>0</v>
      </c>
      <c r="L4" s="13">
        <v>5.2631578947368418E-2</v>
      </c>
      <c r="M4" s="10" t="s">
        <v>38</v>
      </c>
    </row>
    <row r="5" spans="2:13" ht="17.5" x14ac:dyDescent="0.65">
      <c r="B5" s="1" t="s">
        <v>11</v>
      </c>
      <c r="C5" s="1" t="s">
        <v>13</v>
      </c>
      <c r="D5" s="2">
        <v>8</v>
      </c>
      <c r="E5" s="2">
        <v>12</v>
      </c>
      <c r="F5" s="3">
        <v>0.5</v>
      </c>
      <c r="G5" s="4">
        <v>73.666666666666671</v>
      </c>
      <c r="H5" s="2">
        <v>6</v>
      </c>
      <c r="I5" s="1"/>
      <c r="J5" s="1"/>
      <c r="K5" s="2">
        <v>0</v>
      </c>
      <c r="L5" s="5">
        <v>0.16289592760180993</v>
      </c>
      <c r="M5" s="2" t="s">
        <v>38</v>
      </c>
    </row>
    <row r="6" spans="2:13" ht="17.5" x14ac:dyDescent="0.65">
      <c r="B6" s="1" t="s">
        <v>11</v>
      </c>
      <c r="C6" s="1" t="s">
        <v>16</v>
      </c>
      <c r="D6" s="2">
        <v>9</v>
      </c>
      <c r="E6" s="2">
        <v>8</v>
      </c>
      <c r="F6" s="3">
        <v>-0.11111111111111116</v>
      </c>
      <c r="G6" s="4">
        <v>63.720000000000006</v>
      </c>
      <c r="H6" s="2">
        <v>5</v>
      </c>
      <c r="I6" s="1"/>
      <c r="J6" s="1"/>
      <c r="K6" s="2">
        <v>0</v>
      </c>
      <c r="L6" s="5">
        <v>0.12554927809165095</v>
      </c>
      <c r="M6" s="2" t="s">
        <v>38</v>
      </c>
    </row>
    <row r="7" spans="2:13" ht="17.5" x14ac:dyDescent="0.65">
      <c r="B7" s="1" t="s">
        <v>11</v>
      </c>
      <c r="C7" s="1" t="s">
        <v>12</v>
      </c>
      <c r="D7" s="2">
        <v>14</v>
      </c>
      <c r="E7" s="2">
        <v>13</v>
      </c>
      <c r="F7" s="3">
        <v>-7.1428571428571397E-2</v>
      </c>
      <c r="G7" s="4">
        <v>111.97333333333334</v>
      </c>
      <c r="H7" s="2">
        <v>4</v>
      </c>
      <c r="I7" s="1"/>
      <c r="J7" s="1"/>
      <c r="K7" s="2">
        <v>0</v>
      </c>
      <c r="L7" s="5">
        <v>0.11609907120743033</v>
      </c>
      <c r="M7" s="2" t="s">
        <v>38</v>
      </c>
    </row>
    <row r="8" spans="2:13" ht="17.5" x14ac:dyDescent="0.65">
      <c r="B8" s="1" t="s">
        <v>11</v>
      </c>
      <c r="C8" s="1" t="s">
        <v>17</v>
      </c>
      <c r="D8" s="2">
        <v>21</v>
      </c>
      <c r="E8" s="2">
        <v>18</v>
      </c>
      <c r="F8" s="3">
        <v>-0.1428571428571429</v>
      </c>
      <c r="G8" s="4">
        <v>166</v>
      </c>
      <c r="H8" s="2">
        <v>6</v>
      </c>
      <c r="I8" s="1"/>
      <c r="J8" s="1"/>
      <c r="K8" s="2">
        <v>0</v>
      </c>
      <c r="L8" s="5">
        <v>0.10843373493975904</v>
      </c>
      <c r="M8" s="2" t="s">
        <v>38</v>
      </c>
    </row>
    <row r="9" spans="2:13" ht="17.5" x14ac:dyDescent="0.65">
      <c r="B9" s="1" t="s">
        <v>11</v>
      </c>
      <c r="C9" s="1" t="s">
        <v>11</v>
      </c>
      <c r="D9" s="2">
        <v>4</v>
      </c>
      <c r="E9" s="2">
        <v>8</v>
      </c>
      <c r="F9" s="3">
        <v>1</v>
      </c>
      <c r="G9" s="4">
        <v>50</v>
      </c>
      <c r="H9" s="2">
        <v>4</v>
      </c>
      <c r="I9" s="1"/>
      <c r="J9" s="1"/>
      <c r="K9" s="2">
        <v>0</v>
      </c>
      <c r="L9" s="5">
        <v>0.16</v>
      </c>
      <c r="M9" s="2" t="s">
        <v>38</v>
      </c>
    </row>
    <row r="10" spans="2:13" ht="17.5" x14ac:dyDescent="0.65">
      <c r="B10" s="1" t="s">
        <v>11</v>
      </c>
      <c r="C10" s="1" t="s">
        <v>14</v>
      </c>
      <c r="D10" s="2">
        <v>16</v>
      </c>
      <c r="E10" s="2">
        <v>13</v>
      </c>
      <c r="F10" s="3">
        <v>-0.1875</v>
      </c>
      <c r="G10" s="4">
        <v>119</v>
      </c>
      <c r="H10" s="2">
        <v>5</v>
      </c>
      <c r="I10" s="1"/>
      <c r="J10" s="1"/>
      <c r="K10" s="2">
        <v>0</v>
      </c>
      <c r="L10" s="5">
        <v>0.1092436974789916</v>
      </c>
      <c r="M10" s="2" t="s">
        <v>38</v>
      </c>
    </row>
    <row r="11" spans="2:13" ht="17.5" x14ac:dyDescent="0.65">
      <c r="B11" s="1" t="s">
        <v>11</v>
      </c>
      <c r="C11" s="1" t="s">
        <v>15</v>
      </c>
      <c r="D11" s="2">
        <v>4</v>
      </c>
      <c r="E11" s="2">
        <v>12</v>
      </c>
      <c r="F11" s="3">
        <v>2</v>
      </c>
      <c r="G11" s="4">
        <v>95.666666666666671</v>
      </c>
      <c r="H11" s="2">
        <v>6</v>
      </c>
      <c r="I11" s="1"/>
      <c r="J11" s="1"/>
      <c r="K11" s="2">
        <v>0</v>
      </c>
      <c r="L11" s="5">
        <v>0.12543554006968641</v>
      </c>
      <c r="M11" s="2" t="s">
        <v>38</v>
      </c>
    </row>
    <row r="12" spans="2:13" ht="17.5" x14ac:dyDescent="0.65">
      <c r="B12" s="1" t="s">
        <v>11</v>
      </c>
      <c r="C12" s="1" t="s">
        <v>18</v>
      </c>
      <c r="D12" s="2">
        <v>14</v>
      </c>
      <c r="E12" s="2">
        <v>16</v>
      </c>
      <c r="F12" s="3">
        <v>0.14285714285714279</v>
      </c>
      <c r="G12" s="4">
        <v>135.33333333333334</v>
      </c>
      <c r="H12" s="2">
        <v>5</v>
      </c>
      <c r="I12" s="1"/>
      <c r="J12" s="1"/>
      <c r="K12" s="2">
        <v>0</v>
      </c>
      <c r="L12" s="5">
        <v>0.11822660098522167</v>
      </c>
      <c r="M12" s="2" t="s">
        <v>38</v>
      </c>
    </row>
    <row r="13" spans="2:13" ht="17.5" x14ac:dyDescent="0.65">
      <c r="B13" s="9" t="s">
        <v>40</v>
      </c>
      <c r="C13" s="9" t="s">
        <v>30</v>
      </c>
      <c r="D13" s="10">
        <v>3</v>
      </c>
      <c r="E13" s="10">
        <v>17</v>
      </c>
      <c r="F13" s="11">
        <v>4.666666666666667</v>
      </c>
      <c r="G13" s="12">
        <v>186</v>
      </c>
      <c r="H13" s="10">
        <v>23</v>
      </c>
      <c r="I13" s="9"/>
      <c r="J13" s="9"/>
      <c r="K13" s="10">
        <v>0</v>
      </c>
      <c r="L13" s="13">
        <v>9.1397849462365593E-2</v>
      </c>
      <c r="M13" s="10" t="s">
        <v>38</v>
      </c>
    </row>
    <row r="14" spans="2:13" ht="17.5" x14ac:dyDescent="0.65">
      <c r="B14" s="9" t="s">
        <v>40</v>
      </c>
      <c r="C14" s="9" t="s">
        <v>26</v>
      </c>
      <c r="D14" s="10">
        <v>6</v>
      </c>
      <c r="E14" s="10">
        <v>21</v>
      </c>
      <c r="F14" s="11">
        <v>2.5</v>
      </c>
      <c r="G14" s="12">
        <v>64.333333333333329</v>
      </c>
      <c r="H14" s="10">
        <v>15</v>
      </c>
      <c r="I14" s="9"/>
      <c r="J14" s="9"/>
      <c r="K14" s="10">
        <v>0</v>
      </c>
      <c r="L14" s="13">
        <v>0.32642487046632129</v>
      </c>
      <c r="M14" s="10" t="s">
        <v>38</v>
      </c>
    </row>
    <row r="15" spans="2:13" ht="17.5" x14ac:dyDescent="0.65">
      <c r="B15" s="1" t="s">
        <v>39</v>
      </c>
      <c r="C15" s="1" t="s">
        <v>31</v>
      </c>
      <c r="D15" s="2">
        <v>4</v>
      </c>
      <c r="E15" s="2">
        <v>37</v>
      </c>
      <c r="F15" s="3">
        <v>8.25</v>
      </c>
      <c r="G15" s="4">
        <v>231.33333333333334</v>
      </c>
      <c r="H15" s="2">
        <v>25</v>
      </c>
      <c r="I15" s="1"/>
      <c r="J15" s="1"/>
      <c r="K15" s="2">
        <v>0</v>
      </c>
      <c r="L15" s="5">
        <v>0.15994236311239193</v>
      </c>
      <c r="M15" s="2" t="s">
        <v>38</v>
      </c>
    </row>
    <row r="16" spans="2:13" ht="17.5" x14ac:dyDescent="0.65">
      <c r="B16" s="1" t="s">
        <v>39</v>
      </c>
      <c r="C16" s="1" t="s">
        <v>28</v>
      </c>
      <c r="D16" s="2">
        <v>6</v>
      </c>
      <c r="E16" s="2">
        <v>11</v>
      </c>
      <c r="F16" s="3">
        <v>0.83333333333333326</v>
      </c>
      <c r="G16" s="4">
        <v>61.666666666666664</v>
      </c>
      <c r="H16" s="2">
        <v>15</v>
      </c>
      <c r="I16" s="1"/>
      <c r="J16" s="1"/>
      <c r="K16" s="2">
        <v>0</v>
      </c>
      <c r="L16" s="5">
        <v>0.17837837837837839</v>
      </c>
      <c r="M16" s="2" t="s">
        <v>38</v>
      </c>
    </row>
    <row r="17" spans="2:13" ht="17.5" x14ac:dyDescent="0.65">
      <c r="B17" s="1" t="s">
        <v>39</v>
      </c>
      <c r="C17" s="1" t="s">
        <v>34</v>
      </c>
      <c r="D17" s="2">
        <v>5</v>
      </c>
      <c r="E17" s="2">
        <v>8</v>
      </c>
      <c r="F17" s="3">
        <v>0.60000000000000009</v>
      </c>
      <c r="G17" s="4">
        <v>48</v>
      </c>
      <c r="H17" s="2">
        <v>7</v>
      </c>
      <c r="I17" s="1"/>
      <c r="J17" s="1"/>
      <c r="K17" s="2">
        <v>0</v>
      </c>
      <c r="L17" s="5">
        <v>0.16666666666666666</v>
      </c>
      <c r="M17" s="2" t="s">
        <v>38</v>
      </c>
    </row>
    <row r="18" spans="2:13" ht="17.5" x14ac:dyDescent="0.65">
      <c r="B18" s="1" t="s">
        <v>39</v>
      </c>
      <c r="C18" s="1" t="s">
        <v>25</v>
      </c>
      <c r="D18" s="2">
        <v>16</v>
      </c>
      <c r="E18" s="2">
        <v>31</v>
      </c>
      <c r="F18" s="3">
        <v>0.9375</v>
      </c>
      <c r="G18" s="4">
        <v>344.66666666666669</v>
      </c>
      <c r="H18" s="2">
        <v>42</v>
      </c>
      <c r="I18" s="1"/>
      <c r="J18" s="1"/>
      <c r="K18" s="2">
        <v>0</v>
      </c>
      <c r="L18" s="5">
        <v>8.994197292069632E-2</v>
      </c>
      <c r="M18" s="2" t="s">
        <v>38</v>
      </c>
    </row>
    <row r="19" spans="2:13" ht="17.5" x14ac:dyDescent="0.65">
      <c r="B19" s="1" t="s">
        <v>39</v>
      </c>
      <c r="C19" s="1" t="s">
        <v>36</v>
      </c>
      <c r="D19" s="2">
        <v>1</v>
      </c>
      <c r="E19" s="2">
        <v>19</v>
      </c>
      <c r="F19" s="3">
        <v>18</v>
      </c>
      <c r="G19" s="4">
        <v>83.333333333333329</v>
      </c>
      <c r="H19" s="2">
        <v>8</v>
      </c>
      <c r="I19" s="1"/>
      <c r="J19" s="1"/>
      <c r="K19" s="2">
        <v>0</v>
      </c>
      <c r="L19" s="5">
        <v>0.22800000000000001</v>
      </c>
      <c r="M19" s="2" t="s">
        <v>38</v>
      </c>
    </row>
    <row r="20" spans="2:13" ht="17.5" x14ac:dyDescent="0.65">
      <c r="B20" s="9" t="s">
        <v>19</v>
      </c>
      <c r="C20" s="9" t="s">
        <v>24</v>
      </c>
      <c r="D20" s="10">
        <v>10</v>
      </c>
      <c r="E20" s="10">
        <v>21</v>
      </c>
      <c r="F20" s="11">
        <v>1.1000000000000001</v>
      </c>
      <c r="G20" s="12">
        <v>141.09333333333333</v>
      </c>
      <c r="H20" s="10">
        <v>5</v>
      </c>
      <c r="I20" s="9"/>
      <c r="J20" s="9"/>
      <c r="K20" s="10">
        <v>0</v>
      </c>
      <c r="L20" s="13">
        <v>0.14883764883764883</v>
      </c>
      <c r="M20" s="10" t="s">
        <v>38</v>
      </c>
    </row>
    <row r="21" spans="2:13" ht="17.5" x14ac:dyDescent="0.65">
      <c r="B21" s="9" t="s">
        <v>19</v>
      </c>
      <c r="C21" s="9" t="s">
        <v>27</v>
      </c>
      <c r="D21" s="10">
        <v>0</v>
      </c>
      <c r="E21" s="10">
        <v>6</v>
      </c>
      <c r="F21" s="11" t="e">
        <v>#DIV/0!</v>
      </c>
      <c r="G21" s="12">
        <v>9</v>
      </c>
      <c r="H21" s="10">
        <v>4</v>
      </c>
      <c r="I21" s="9"/>
      <c r="J21" s="9"/>
      <c r="K21" s="10">
        <v>0</v>
      </c>
      <c r="L21" s="13">
        <v>0.66666666666666663</v>
      </c>
      <c r="M21" s="10" t="s">
        <v>38</v>
      </c>
    </row>
    <row r="22" spans="2:13" ht="17.5" x14ac:dyDescent="0.65">
      <c r="B22" s="9" t="s">
        <v>19</v>
      </c>
      <c r="C22" s="9" t="s">
        <v>23</v>
      </c>
      <c r="D22" s="10">
        <v>14</v>
      </c>
      <c r="E22" s="10">
        <v>15</v>
      </c>
      <c r="F22" s="11">
        <v>7.1428571428571397E-2</v>
      </c>
      <c r="G22" s="12">
        <v>109.54666666666667</v>
      </c>
      <c r="H22" s="10">
        <v>5</v>
      </c>
      <c r="I22" s="9"/>
      <c r="J22" s="9"/>
      <c r="K22" s="10">
        <v>0</v>
      </c>
      <c r="L22" s="13">
        <v>0.13692794547224926</v>
      </c>
      <c r="M22" s="10" t="s">
        <v>38</v>
      </c>
    </row>
    <row r="23" spans="2:13" ht="17.5" x14ac:dyDescent="0.65">
      <c r="B23" s="9" t="s">
        <v>19</v>
      </c>
      <c r="C23" s="9" t="s">
        <v>20</v>
      </c>
      <c r="D23" s="10">
        <v>14</v>
      </c>
      <c r="E23" s="10">
        <v>6</v>
      </c>
      <c r="F23" s="11">
        <v>-0.5714285714285714</v>
      </c>
      <c r="G23" s="12">
        <v>117</v>
      </c>
      <c r="H23" s="10">
        <v>4</v>
      </c>
      <c r="I23" s="9"/>
      <c r="J23" s="9"/>
      <c r="K23" s="10">
        <v>0</v>
      </c>
      <c r="L23" s="13">
        <v>5.128205128205128E-2</v>
      </c>
      <c r="M23" s="10" t="s">
        <v>38</v>
      </c>
    </row>
    <row r="24" spans="2:13" ht="17.5" x14ac:dyDescent="0.65">
      <c r="B24" s="9" t="s">
        <v>19</v>
      </c>
      <c r="C24" s="9" t="s">
        <v>35</v>
      </c>
      <c r="D24" s="10">
        <v>7</v>
      </c>
      <c r="E24" s="10">
        <v>12</v>
      </c>
      <c r="F24" s="11">
        <v>0.71428571428571419</v>
      </c>
      <c r="G24" s="12">
        <v>130.66666666666666</v>
      </c>
      <c r="H24" s="10">
        <v>15</v>
      </c>
      <c r="I24" s="9"/>
      <c r="J24" s="9"/>
      <c r="K24" s="10">
        <v>0</v>
      </c>
      <c r="L24" s="13">
        <v>9.1836734693877556E-2</v>
      </c>
      <c r="M24" s="10" t="s">
        <v>38</v>
      </c>
    </row>
    <row r="25" spans="2:13" ht="17.5" x14ac:dyDescent="0.65">
      <c r="B25" s="9" t="s">
        <v>19</v>
      </c>
      <c r="C25" s="9" t="s">
        <v>37</v>
      </c>
      <c r="D25" s="10">
        <v>0</v>
      </c>
      <c r="E25" s="10">
        <v>7</v>
      </c>
      <c r="F25" s="11" t="e">
        <v>#DIV/0!</v>
      </c>
      <c r="G25" s="12">
        <v>68</v>
      </c>
      <c r="H25" s="10">
        <v>12</v>
      </c>
      <c r="I25" s="9"/>
      <c r="J25" s="9"/>
      <c r="K25" s="10">
        <v>0</v>
      </c>
      <c r="L25" s="13">
        <v>0.10294117647058823</v>
      </c>
      <c r="M25" s="10" t="s">
        <v>38</v>
      </c>
    </row>
    <row r="26" spans="2:13" ht="17.5" x14ac:dyDescent="0.65">
      <c r="B26" s="1" t="s">
        <v>21</v>
      </c>
      <c r="C26" s="1" t="s">
        <v>22</v>
      </c>
      <c r="D26" s="2">
        <v>3</v>
      </c>
      <c r="E26" s="2">
        <v>4</v>
      </c>
      <c r="F26" s="3">
        <v>0.33333333333333326</v>
      </c>
      <c r="G26" s="4">
        <v>58.320000000000007</v>
      </c>
      <c r="H26" s="2">
        <v>4</v>
      </c>
      <c r="I26" s="1"/>
      <c r="J26" s="1"/>
      <c r="K26" s="2">
        <v>0</v>
      </c>
      <c r="L26" s="5">
        <v>6.858710562414265E-2</v>
      </c>
      <c r="M26" s="2" t="s">
        <v>38</v>
      </c>
    </row>
    <row r="27" spans="2:13" ht="17.5" x14ac:dyDescent="0.65">
      <c r="B27" s="1" t="s">
        <v>21</v>
      </c>
      <c r="C27" s="1" t="s">
        <v>29</v>
      </c>
      <c r="D27" s="2">
        <v>4</v>
      </c>
      <c r="E27" s="2">
        <v>38</v>
      </c>
      <c r="F27" s="3">
        <v>8.5</v>
      </c>
      <c r="G27" s="4">
        <v>77.333333333333329</v>
      </c>
      <c r="H27" s="2">
        <v>15</v>
      </c>
      <c r="I27" s="1"/>
      <c r="J27" s="1"/>
      <c r="K27" s="2">
        <v>0</v>
      </c>
      <c r="L27" s="5">
        <v>0.49137931034482762</v>
      </c>
      <c r="M27" s="2" t="s">
        <v>38</v>
      </c>
    </row>
    <row r="29" spans="2:13" x14ac:dyDescent="0.35">
      <c r="B29" t="s">
        <v>95</v>
      </c>
    </row>
  </sheetData>
  <sortState xmlns:xlrd2="http://schemas.microsoft.com/office/spreadsheetml/2017/richdata2" ref="B3:M27">
    <sortCondition ref="B3:B27"/>
    <sortCondition ref="C3:C27"/>
  </sortState>
  <conditionalFormatting sqref="L3:L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7">
    <cfRule type="containsText" dxfId="0" priority="1" operator="containsText" text="no">
      <formula>NOT(ISERROR(SEARCH("no",M3)))</formula>
    </cfRule>
  </conditionalFormatting>
  <pageMargins left="0.7" right="0.7" top="0.75" bottom="0.75" header="0.3" footer="0.3"/>
  <headerFooter>
    <oddFooter>&amp;L_x000D_&amp;1#&amp;"Aptos"&amp;8&amp;K000000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4407-D676-4CA0-852A-A8B55120280D}">
  <dimension ref="B2:M21"/>
  <sheetViews>
    <sheetView topLeftCell="A8" workbookViewId="0">
      <selection activeCell="B21" sqref="B21"/>
    </sheetView>
  </sheetViews>
  <sheetFormatPr defaultRowHeight="14.5" x14ac:dyDescent="0.35"/>
  <cols>
    <col min="2" max="2" width="13" customWidth="1"/>
    <col min="3" max="3" width="22.6328125" customWidth="1"/>
    <col min="4" max="4" width="7.36328125" customWidth="1"/>
    <col min="5" max="5" width="8.54296875" customWidth="1"/>
    <col min="6" max="6" width="8.7265625" customWidth="1"/>
    <col min="7" max="7" width="13.453125" customWidth="1"/>
    <col min="8" max="8" width="10.81640625" bestFit="1" customWidth="1"/>
    <col min="9" max="9" width="14.81640625" hidden="1" customWidth="1"/>
    <col min="10" max="10" width="10.08984375" hidden="1" customWidth="1"/>
    <col min="11" max="11" width="15" hidden="1" customWidth="1"/>
    <col min="12" max="12" width="10.81640625" hidden="1" customWidth="1"/>
    <col min="13" max="13" width="6.26953125" hidden="1" customWidth="1"/>
  </cols>
  <sheetData>
    <row r="2" spans="2:13" ht="31" x14ac:dyDescent="0.35">
      <c r="B2" s="14" t="s">
        <v>43</v>
      </c>
      <c r="C2" s="14" t="s">
        <v>44</v>
      </c>
      <c r="D2" s="15" t="s">
        <v>45</v>
      </c>
      <c r="E2" s="15" t="s">
        <v>61</v>
      </c>
      <c r="F2" s="15" t="s">
        <v>46</v>
      </c>
      <c r="G2" s="15" t="s">
        <v>47</v>
      </c>
      <c r="H2" s="15" t="s">
        <v>62</v>
      </c>
      <c r="I2" s="22" t="s">
        <v>63</v>
      </c>
      <c r="J2" s="22" t="s">
        <v>48</v>
      </c>
      <c r="K2" s="22" t="s">
        <v>64</v>
      </c>
      <c r="L2" s="22" t="s">
        <v>49</v>
      </c>
      <c r="M2" s="22" t="s">
        <v>65</v>
      </c>
    </row>
    <row r="3" spans="2:13" ht="17.5" x14ac:dyDescent="0.65">
      <c r="B3" s="16" t="s">
        <v>41</v>
      </c>
      <c r="C3" s="16" t="s">
        <v>32</v>
      </c>
      <c r="D3" s="17">
        <v>202</v>
      </c>
      <c r="E3" s="17">
        <v>11</v>
      </c>
      <c r="F3" s="17">
        <v>0</v>
      </c>
      <c r="G3" s="17">
        <v>0</v>
      </c>
      <c r="H3" s="18">
        <v>0</v>
      </c>
      <c r="I3" s="17">
        <v>22</v>
      </c>
      <c r="J3" s="17">
        <v>2408</v>
      </c>
      <c r="K3" s="17">
        <v>3</v>
      </c>
      <c r="L3" s="17">
        <v>1.2458471760797341E-3</v>
      </c>
      <c r="M3" s="17">
        <v>600000</v>
      </c>
    </row>
    <row r="4" spans="2:13" ht="17.5" x14ac:dyDescent="0.65">
      <c r="B4" s="16" t="s">
        <v>41</v>
      </c>
      <c r="C4" s="16" t="s">
        <v>51</v>
      </c>
      <c r="D4" s="17">
        <v>264</v>
      </c>
      <c r="E4" s="17">
        <v>10</v>
      </c>
      <c r="F4" s="17">
        <v>1</v>
      </c>
      <c r="G4" s="17">
        <v>1</v>
      </c>
      <c r="H4" s="18">
        <v>0.1</v>
      </c>
      <c r="I4" s="17">
        <v>7</v>
      </c>
      <c r="J4" s="17">
        <v>784</v>
      </c>
      <c r="K4" s="17">
        <v>2</v>
      </c>
      <c r="L4" s="17">
        <v>2.5510204081632651E-3</v>
      </c>
      <c r="M4" s="17">
        <v>400000</v>
      </c>
    </row>
    <row r="5" spans="2:13" ht="17.5" x14ac:dyDescent="0.65">
      <c r="B5" s="16" t="s">
        <v>11</v>
      </c>
      <c r="C5" s="16" t="s">
        <v>13</v>
      </c>
      <c r="D5" s="17">
        <v>215</v>
      </c>
      <c r="E5" s="17">
        <v>15</v>
      </c>
      <c r="F5" s="17">
        <v>1</v>
      </c>
      <c r="G5" s="17">
        <v>1</v>
      </c>
      <c r="H5" s="18">
        <v>6.6666666666666666E-2</v>
      </c>
      <c r="I5" s="17">
        <v>9</v>
      </c>
      <c r="J5" s="17">
        <v>2232</v>
      </c>
      <c r="K5" s="17">
        <v>1</v>
      </c>
      <c r="L5" s="17">
        <v>4.4802867383512545E-4</v>
      </c>
      <c r="M5" s="17">
        <v>200000</v>
      </c>
    </row>
    <row r="6" spans="2:13" ht="17.5" x14ac:dyDescent="0.65">
      <c r="B6" s="16" t="s">
        <v>11</v>
      </c>
      <c r="C6" s="16" t="s">
        <v>52</v>
      </c>
      <c r="D6" s="17">
        <v>98</v>
      </c>
      <c r="E6" s="17">
        <v>9</v>
      </c>
      <c r="F6" s="17">
        <v>2</v>
      </c>
      <c r="G6" s="17">
        <v>2</v>
      </c>
      <c r="H6" s="18">
        <v>0.22222222222222221</v>
      </c>
      <c r="I6" s="17">
        <v>14</v>
      </c>
      <c r="J6" s="17">
        <v>1716</v>
      </c>
      <c r="K6" s="17">
        <v>1</v>
      </c>
      <c r="L6" s="17">
        <v>5.8275058275058275E-4</v>
      </c>
      <c r="M6" s="17">
        <v>200000</v>
      </c>
    </row>
    <row r="7" spans="2:13" ht="17.5" x14ac:dyDescent="0.65">
      <c r="B7" s="16" t="s">
        <v>11</v>
      </c>
      <c r="C7" s="16" t="s">
        <v>57</v>
      </c>
      <c r="D7" s="17">
        <v>201</v>
      </c>
      <c r="E7" s="17">
        <v>7</v>
      </c>
      <c r="F7" s="17">
        <v>1</v>
      </c>
      <c r="G7" s="17">
        <v>1</v>
      </c>
      <c r="H7" s="18">
        <v>0.14285714285714285</v>
      </c>
      <c r="I7" s="17">
        <v>6</v>
      </c>
      <c r="J7" s="17">
        <v>1632</v>
      </c>
      <c r="K7" s="17">
        <v>2</v>
      </c>
      <c r="L7" s="17">
        <v>1.2254901960784314E-3</v>
      </c>
      <c r="M7" s="17">
        <v>200000</v>
      </c>
    </row>
    <row r="8" spans="2:13" ht="17.5" x14ac:dyDescent="0.65">
      <c r="B8" s="16" t="s">
        <v>40</v>
      </c>
      <c r="C8" s="16" t="s">
        <v>55</v>
      </c>
      <c r="D8" s="17">
        <v>153</v>
      </c>
      <c r="E8" s="17">
        <v>7</v>
      </c>
      <c r="F8" s="17">
        <v>0</v>
      </c>
      <c r="G8" s="17">
        <v>0</v>
      </c>
      <c r="H8" s="18">
        <v>0</v>
      </c>
      <c r="I8" s="17">
        <v>6</v>
      </c>
      <c r="J8" s="17">
        <v>1543</v>
      </c>
      <c r="K8" s="17">
        <v>1</v>
      </c>
      <c r="L8" s="17">
        <v>6.4808813998703824E-4</v>
      </c>
      <c r="M8" s="17">
        <v>200000</v>
      </c>
    </row>
    <row r="9" spans="2:13" ht="17.5" x14ac:dyDescent="0.65">
      <c r="B9" s="16" t="s">
        <v>40</v>
      </c>
      <c r="C9" s="16" t="s">
        <v>54</v>
      </c>
      <c r="D9" s="17">
        <v>172</v>
      </c>
      <c r="E9" s="17">
        <v>7</v>
      </c>
      <c r="F9" s="17">
        <v>1</v>
      </c>
      <c r="G9" s="17">
        <v>1</v>
      </c>
      <c r="H9" s="18">
        <v>0.14285714285714285</v>
      </c>
      <c r="I9" s="17">
        <v>13</v>
      </c>
      <c r="J9" s="17">
        <v>3334</v>
      </c>
      <c r="K9" s="17">
        <v>1</v>
      </c>
      <c r="L9" s="17">
        <v>2.9994001199760045E-4</v>
      </c>
      <c r="M9" s="17">
        <v>200000</v>
      </c>
    </row>
    <row r="10" spans="2:13" ht="17.5" x14ac:dyDescent="0.65">
      <c r="B10" s="16" t="s">
        <v>39</v>
      </c>
      <c r="C10" s="16" t="s">
        <v>59</v>
      </c>
      <c r="D10" s="17">
        <v>177</v>
      </c>
      <c r="E10" s="17">
        <v>4</v>
      </c>
      <c r="F10" s="17">
        <v>0</v>
      </c>
      <c r="G10" s="17">
        <v>0</v>
      </c>
      <c r="H10" s="18">
        <v>0</v>
      </c>
      <c r="I10" s="17">
        <v>7</v>
      </c>
      <c r="J10" s="17">
        <v>1407</v>
      </c>
      <c r="K10" s="17">
        <v>1</v>
      </c>
      <c r="L10" s="17">
        <v>7.1073205401563609E-4</v>
      </c>
      <c r="M10" s="17">
        <v>200000</v>
      </c>
    </row>
    <row r="11" spans="2:13" ht="17.5" x14ac:dyDescent="0.65">
      <c r="B11" s="16" t="s">
        <v>39</v>
      </c>
      <c r="C11" s="16" t="s">
        <v>53</v>
      </c>
      <c r="D11" s="17">
        <v>417</v>
      </c>
      <c r="E11" s="17">
        <v>14</v>
      </c>
      <c r="F11" s="17">
        <v>1</v>
      </c>
      <c r="G11" s="17">
        <v>1</v>
      </c>
      <c r="H11" s="18">
        <v>7.1428571428571425E-2</v>
      </c>
      <c r="I11" s="17">
        <v>11</v>
      </c>
      <c r="J11" s="17">
        <v>1615</v>
      </c>
      <c r="K11" s="17">
        <v>0</v>
      </c>
      <c r="L11" s="17">
        <v>0</v>
      </c>
      <c r="M11" s="17">
        <v>0</v>
      </c>
    </row>
    <row r="12" spans="2:13" ht="17.5" x14ac:dyDescent="0.65">
      <c r="B12" s="16" t="s">
        <v>39</v>
      </c>
      <c r="C12" s="16" t="s">
        <v>60</v>
      </c>
      <c r="D12" s="17">
        <v>103</v>
      </c>
      <c r="E12" s="17">
        <v>3</v>
      </c>
      <c r="F12" s="17">
        <v>0</v>
      </c>
      <c r="G12" s="17">
        <v>0</v>
      </c>
      <c r="H12" s="18">
        <v>0</v>
      </c>
      <c r="I12" s="17">
        <v>7</v>
      </c>
      <c r="J12" s="17">
        <v>1218</v>
      </c>
      <c r="K12" s="17">
        <v>0</v>
      </c>
      <c r="L12" s="17">
        <v>0</v>
      </c>
      <c r="M12" s="17">
        <v>0</v>
      </c>
    </row>
    <row r="13" spans="2:13" ht="17.5" x14ac:dyDescent="0.65">
      <c r="B13" s="16" t="s">
        <v>39</v>
      </c>
      <c r="C13" s="16" t="s">
        <v>58</v>
      </c>
      <c r="D13" s="17">
        <v>49</v>
      </c>
      <c r="E13" s="17">
        <v>2</v>
      </c>
      <c r="F13" s="17">
        <v>0</v>
      </c>
      <c r="G13" s="17">
        <v>0</v>
      </c>
      <c r="H13" s="18">
        <v>0</v>
      </c>
      <c r="I13" s="17">
        <v>4</v>
      </c>
      <c r="J13" s="17">
        <v>1416</v>
      </c>
      <c r="K13" s="17">
        <v>0</v>
      </c>
      <c r="L13" s="17">
        <v>0</v>
      </c>
      <c r="M13" s="17">
        <v>0</v>
      </c>
    </row>
    <row r="14" spans="2:13" ht="17.5" x14ac:dyDescent="0.65">
      <c r="B14" s="16" t="s">
        <v>19</v>
      </c>
      <c r="C14" s="16" t="s">
        <v>27</v>
      </c>
      <c r="D14" s="17">
        <v>176</v>
      </c>
      <c r="E14" s="17">
        <v>8</v>
      </c>
      <c r="F14" s="17">
        <v>1</v>
      </c>
      <c r="G14" s="17">
        <v>1</v>
      </c>
      <c r="H14" s="18">
        <v>0.125</v>
      </c>
      <c r="I14" s="17">
        <v>3</v>
      </c>
      <c r="J14" s="17">
        <v>822</v>
      </c>
      <c r="K14" s="17">
        <v>0</v>
      </c>
      <c r="L14" s="17">
        <v>0</v>
      </c>
      <c r="M14" s="17">
        <v>0</v>
      </c>
    </row>
    <row r="15" spans="2:13" ht="17.5" x14ac:dyDescent="0.65">
      <c r="B15" s="16" t="s">
        <v>19</v>
      </c>
      <c r="C15" s="16" t="s">
        <v>37</v>
      </c>
      <c r="D15" s="17">
        <v>194</v>
      </c>
      <c r="E15" s="17">
        <v>10</v>
      </c>
      <c r="F15" s="17">
        <v>0</v>
      </c>
      <c r="G15" s="17">
        <v>0</v>
      </c>
      <c r="H15" s="18">
        <v>0</v>
      </c>
      <c r="I15" s="17">
        <v>2</v>
      </c>
      <c r="J15" s="17">
        <v>392</v>
      </c>
      <c r="K15" s="17">
        <v>0</v>
      </c>
      <c r="L15" s="17">
        <v>0</v>
      </c>
      <c r="M15" s="17">
        <v>0</v>
      </c>
    </row>
    <row r="16" spans="2:13" ht="17.5" x14ac:dyDescent="0.65">
      <c r="B16" s="16" t="s">
        <v>19</v>
      </c>
      <c r="C16" s="16" t="s">
        <v>19</v>
      </c>
      <c r="D16" s="17">
        <v>294</v>
      </c>
      <c r="E16" s="17">
        <v>25</v>
      </c>
      <c r="F16" s="17">
        <v>3</v>
      </c>
      <c r="G16" s="17">
        <v>3</v>
      </c>
      <c r="H16" s="18">
        <v>0.12</v>
      </c>
      <c r="I16" s="17">
        <v>10</v>
      </c>
      <c r="J16" s="17">
        <v>1549</v>
      </c>
      <c r="K16" s="17">
        <v>0</v>
      </c>
      <c r="L16" s="17">
        <v>0</v>
      </c>
      <c r="M16" s="17">
        <v>0</v>
      </c>
    </row>
    <row r="17" spans="2:13" ht="17.5" x14ac:dyDescent="0.65">
      <c r="B17" s="16" t="s">
        <v>21</v>
      </c>
      <c r="C17" s="16" t="s">
        <v>56</v>
      </c>
      <c r="D17" s="17">
        <v>148</v>
      </c>
      <c r="E17" s="17">
        <v>5</v>
      </c>
      <c r="F17" s="17">
        <v>0</v>
      </c>
      <c r="G17" s="17">
        <v>0</v>
      </c>
      <c r="H17" s="18">
        <v>0</v>
      </c>
      <c r="I17" s="17">
        <v>5</v>
      </c>
      <c r="J17" s="17">
        <v>1240</v>
      </c>
      <c r="K17" s="17">
        <v>0</v>
      </c>
      <c r="L17" s="17">
        <v>0</v>
      </c>
      <c r="M17" s="17">
        <v>0</v>
      </c>
    </row>
    <row r="18" spans="2:13" ht="17.5" x14ac:dyDescent="0.65">
      <c r="B18" s="16" t="s">
        <v>21</v>
      </c>
      <c r="C18" s="16" t="s">
        <v>50</v>
      </c>
      <c r="D18" s="17">
        <v>107</v>
      </c>
      <c r="E18" s="17">
        <v>9</v>
      </c>
      <c r="F18" s="17">
        <v>0</v>
      </c>
      <c r="G18" s="17">
        <v>0</v>
      </c>
      <c r="H18" s="18">
        <v>0</v>
      </c>
      <c r="I18" s="17">
        <v>9</v>
      </c>
      <c r="J18" s="17">
        <v>854</v>
      </c>
      <c r="K18" s="17">
        <v>0</v>
      </c>
      <c r="L18" s="17">
        <v>0</v>
      </c>
      <c r="M18" s="17">
        <v>0</v>
      </c>
    </row>
    <row r="19" spans="2:13" ht="17.5" x14ac:dyDescent="0.65">
      <c r="B19" s="43" t="s">
        <v>66</v>
      </c>
      <c r="C19" s="44"/>
      <c r="D19" s="21">
        <f>SUM(D3:D18)</f>
        <v>2970</v>
      </c>
      <c r="E19" s="19">
        <f>SUM(E3:E18)</f>
        <v>146</v>
      </c>
      <c r="F19" s="19">
        <f>SUM(F3:F18)</f>
        <v>11</v>
      </c>
      <c r="G19" s="19">
        <f>SUM(G3:G18)</f>
        <v>11</v>
      </c>
      <c r="H19" s="20">
        <f>F19/E19</f>
        <v>7.5342465753424653E-2</v>
      </c>
    </row>
    <row r="21" spans="2:13" x14ac:dyDescent="0.35">
      <c r="B21" t="s">
        <v>94</v>
      </c>
    </row>
  </sheetData>
  <sortState xmlns:xlrd2="http://schemas.microsoft.com/office/spreadsheetml/2017/richdata2" ref="B3:H18">
    <sortCondition ref="B3:B18"/>
    <sortCondition ref="C3:C18"/>
  </sortState>
  <mergeCells count="1">
    <mergeCell ref="B19:C19"/>
  </mergeCells>
  <conditionalFormatting sqref="H3:H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headerFooter>
    <oddFooter>&amp;L_x000D_&amp;1#&amp;"Aptos"&amp;8&amp;K000000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8815-B61F-406F-B3AD-C380AF76FAA5}">
  <dimension ref="B2:I50"/>
  <sheetViews>
    <sheetView topLeftCell="A43" workbookViewId="0">
      <selection activeCell="C50" sqref="C50"/>
    </sheetView>
  </sheetViews>
  <sheetFormatPr defaultRowHeight="14.5" x14ac:dyDescent="0.35"/>
  <cols>
    <col min="2" max="2" width="12.7265625" customWidth="1"/>
    <col min="3" max="3" width="23.1796875" customWidth="1"/>
    <col min="4" max="4" width="16.26953125" customWidth="1"/>
    <col min="5" max="5" width="11.7265625" bestFit="1" customWidth="1"/>
    <col min="6" max="6" width="8.1796875" bestFit="1" customWidth="1"/>
    <col min="7" max="7" width="10.7265625" bestFit="1" customWidth="1"/>
    <col min="8" max="8" width="7.81640625" customWidth="1"/>
    <col min="9" max="9" width="9.26953125" customWidth="1"/>
  </cols>
  <sheetData>
    <row r="2" spans="2:9" ht="20" x14ac:dyDescent="0.85">
      <c r="B2" s="35" t="s">
        <v>67</v>
      </c>
      <c r="C2" s="36"/>
      <c r="D2" s="36"/>
      <c r="E2" s="36"/>
      <c r="F2" s="36"/>
      <c r="G2" s="37">
        <v>46241</v>
      </c>
      <c r="H2" s="23"/>
      <c r="I2" s="23"/>
    </row>
    <row r="3" spans="2:9" ht="17.5" x14ac:dyDescent="0.65">
      <c r="B3" s="27" t="s">
        <v>0</v>
      </c>
      <c r="C3" s="27" t="s">
        <v>44</v>
      </c>
      <c r="D3" s="27" t="s">
        <v>68</v>
      </c>
      <c r="E3" s="28" t="s">
        <v>69</v>
      </c>
      <c r="F3" s="28" t="s">
        <v>70</v>
      </c>
      <c r="G3" s="28" t="s">
        <v>71</v>
      </c>
      <c r="H3" s="29" t="s">
        <v>72</v>
      </c>
      <c r="I3" s="29" t="s">
        <v>73</v>
      </c>
    </row>
    <row r="4" spans="2:9" ht="17.5" x14ac:dyDescent="0.65">
      <c r="B4" s="24" t="s">
        <v>41</v>
      </c>
      <c r="C4" s="24" t="s">
        <v>32</v>
      </c>
      <c r="D4" s="24" t="s">
        <v>32</v>
      </c>
      <c r="E4" s="25">
        <v>25</v>
      </c>
      <c r="F4" s="25">
        <v>0</v>
      </c>
      <c r="G4" s="26">
        <v>0</v>
      </c>
      <c r="H4" s="25">
        <v>0</v>
      </c>
      <c r="I4" s="26">
        <v>0</v>
      </c>
    </row>
    <row r="5" spans="2:9" ht="17.5" x14ac:dyDescent="0.65">
      <c r="B5" s="24" t="s">
        <v>41</v>
      </c>
      <c r="C5" s="24" t="s">
        <v>32</v>
      </c>
      <c r="D5" s="24" t="s">
        <v>74</v>
      </c>
      <c r="E5" s="25">
        <v>47</v>
      </c>
      <c r="F5" s="25">
        <v>6</v>
      </c>
      <c r="G5" s="26">
        <v>0.12770000000000001</v>
      </c>
      <c r="H5" s="25">
        <v>1</v>
      </c>
      <c r="I5" s="26">
        <v>0.16669999999999999</v>
      </c>
    </row>
    <row r="6" spans="2:9" ht="17.5" x14ac:dyDescent="0.65">
      <c r="B6" s="24" t="s">
        <v>41</v>
      </c>
      <c r="C6" s="24" t="s">
        <v>51</v>
      </c>
      <c r="D6" s="24" t="s">
        <v>33</v>
      </c>
      <c r="E6" s="25">
        <v>32</v>
      </c>
      <c r="F6" s="25">
        <v>0</v>
      </c>
      <c r="G6" s="26">
        <v>0</v>
      </c>
      <c r="H6" s="25">
        <v>0</v>
      </c>
      <c r="I6" s="26">
        <v>0</v>
      </c>
    </row>
    <row r="7" spans="2:9" ht="17.5" x14ac:dyDescent="0.65">
      <c r="B7" s="24" t="s">
        <v>41</v>
      </c>
      <c r="C7" s="24" t="s">
        <v>51</v>
      </c>
      <c r="D7" s="24" t="s">
        <v>41</v>
      </c>
      <c r="E7" s="25">
        <v>17</v>
      </c>
      <c r="F7" s="25">
        <v>0</v>
      </c>
      <c r="G7" s="26">
        <v>0</v>
      </c>
      <c r="H7" s="25">
        <v>0</v>
      </c>
      <c r="I7" s="26">
        <v>0</v>
      </c>
    </row>
    <row r="8" spans="2:9" ht="17.5" x14ac:dyDescent="0.65">
      <c r="B8" s="24" t="s">
        <v>41</v>
      </c>
      <c r="C8" s="24" t="s">
        <v>51</v>
      </c>
      <c r="D8" s="24" t="s">
        <v>75</v>
      </c>
      <c r="E8" s="25">
        <v>44</v>
      </c>
      <c r="F8" s="25">
        <v>3</v>
      </c>
      <c r="G8" s="26">
        <v>6.8199999999999997E-2</v>
      </c>
      <c r="H8" s="25">
        <v>0</v>
      </c>
      <c r="I8" s="26">
        <v>0</v>
      </c>
    </row>
    <row r="9" spans="2:9" ht="17.5" x14ac:dyDescent="0.65">
      <c r="B9" s="24" t="s">
        <v>11</v>
      </c>
      <c r="C9" s="24" t="s">
        <v>13</v>
      </c>
      <c r="D9" s="24" t="s">
        <v>12</v>
      </c>
      <c r="E9" s="25">
        <v>37</v>
      </c>
      <c r="F9" s="25">
        <v>4</v>
      </c>
      <c r="G9" s="26">
        <v>0.1081</v>
      </c>
      <c r="H9" s="25">
        <v>1</v>
      </c>
      <c r="I9" s="26">
        <v>0.25</v>
      </c>
    </row>
    <row r="10" spans="2:9" ht="17.5" x14ac:dyDescent="0.65">
      <c r="B10" s="24" t="s">
        <v>11</v>
      </c>
      <c r="C10" s="24" t="s">
        <v>13</v>
      </c>
      <c r="D10" s="24" t="s">
        <v>11</v>
      </c>
      <c r="E10" s="25">
        <v>27</v>
      </c>
      <c r="F10" s="25">
        <v>2</v>
      </c>
      <c r="G10" s="26">
        <v>7.4099999999999999E-2</v>
      </c>
      <c r="H10" s="25">
        <v>0</v>
      </c>
      <c r="I10" s="26">
        <v>0</v>
      </c>
    </row>
    <row r="11" spans="2:9" ht="17.5" x14ac:dyDescent="0.65">
      <c r="B11" s="24" t="s">
        <v>11</v>
      </c>
      <c r="C11" s="24" t="s">
        <v>52</v>
      </c>
      <c r="D11" s="24" t="s">
        <v>14</v>
      </c>
      <c r="E11" s="25">
        <v>23</v>
      </c>
      <c r="F11" s="25">
        <v>0</v>
      </c>
      <c r="G11" s="26">
        <v>0</v>
      </c>
      <c r="H11" s="25">
        <v>0</v>
      </c>
      <c r="I11" s="26">
        <v>0</v>
      </c>
    </row>
    <row r="12" spans="2:9" ht="17.5" x14ac:dyDescent="0.65">
      <c r="B12" s="24" t="s">
        <v>11</v>
      </c>
      <c r="C12" s="24" t="s">
        <v>52</v>
      </c>
      <c r="D12" s="24" t="s">
        <v>15</v>
      </c>
      <c r="E12" s="25">
        <v>26</v>
      </c>
      <c r="F12" s="25">
        <v>0</v>
      </c>
      <c r="G12" s="26">
        <v>0</v>
      </c>
      <c r="H12" s="25">
        <v>0</v>
      </c>
      <c r="I12" s="26">
        <v>0</v>
      </c>
    </row>
    <row r="13" spans="2:9" ht="17.5" x14ac:dyDescent="0.65">
      <c r="B13" s="24" t="s">
        <v>11</v>
      </c>
      <c r="C13" s="24" t="s">
        <v>57</v>
      </c>
      <c r="D13" s="24" t="s">
        <v>16</v>
      </c>
      <c r="E13" s="25">
        <v>43</v>
      </c>
      <c r="F13" s="25">
        <v>0</v>
      </c>
      <c r="G13" s="26">
        <v>0</v>
      </c>
      <c r="H13" s="25">
        <v>0</v>
      </c>
      <c r="I13" s="26">
        <v>0</v>
      </c>
    </row>
    <row r="14" spans="2:9" ht="17.5" x14ac:dyDescent="0.65">
      <c r="B14" s="24" t="s">
        <v>11</v>
      </c>
      <c r="C14" s="24" t="s">
        <v>57</v>
      </c>
      <c r="D14" s="24" t="s">
        <v>18</v>
      </c>
      <c r="E14" s="25">
        <v>33</v>
      </c>
      <c r="F14" s="25">
        <v>0</v>
      </c>
      <c r="G14" s="26">
        <v>0</v>
      </c>
      <c r="H14" s="25">
        <v>0</v>
      </c>
      <c r="I14" s="26">
        <v>0</v>
      </c>
    </row>
    <row r="15" spans="2:9" ht="17.5" x14ac:dyDescent="0.65">
      <c r="B15" s="24" t="s">
        <v>40</v>
      </c>
      <c r="C15" s="24" t="s">
        <v>55</v>
      </c>
      <c r="D15" s="24" t="s">
        <v>76</v>
      </c>
      <c r="E15" s="25">
        <v>83</v>
      </c>
      <c r="F15" s="25">
        <v>0</v>
      </c>
      <c r="G15" s="26">
        <v>0</v>
      </c>
      <c r="H15" s="25">
        <v>0</v>
      </c>
      <c r="I15" s="26">
        <v>0</v>
      </c>
    </row>
    <row r="16" spans="2:9" ht="17.5" x14ac:dyDescent="0.65">
      <c r="B16" s="24" t="s">
        <v>40</v>
      </c>
      <c r="C16" s="24" t="s">
        <v>54</v>
      </c>
      <c r="D16" s="24" t="s">
        <v>30</v>
      </c>
      <c r="E16" s="25">
        <v>30</v>
      </c>
      <c r="F16" s="25">
        <v>1</v>
      </c>
      <c r="G16" s="26">
        <v>3.3300000000000003E-2</v>
      </c>
      <c r="H16" s="25">
        <v>0</v>
      </c>
      <c r="I16" s="26">
        <v>0</v>
      </c>
    </row>
    <row r="17" spans="2:9" ht="17.5" x14ac:dyDescent="0.65">
      <c r="B17" s="24" t="s">
        <v>40</v>
      </c>
      <c r="C17" s="24" t="s">
        <v>54</v>
      </c>
      <c r="D17" s="24" t="s">
        <v>77</v>
      </c>
      <c r="E17" s="25">
        <v>61</v>
      </c>
      <c r="F17" s="25">
        <v>1</v>
      </c>
      <c r="G17" s="26">
        <v>1.6400000000000001E-2</v>
      </c>
      <c r="H17" s="25">
        <v>1</v>
      </c>
      <c r="I17" s="26">
        <v>1</v>
      </c>
    </row>
    <row r="18" spans="2:9" ht="17.5" x14ac:dyDescent="0.65">
      <c r="B18" s="24" t="s">
        <v>39</v>
      </c>
      <c r="C18" s="24" t="s">
        <v>59</v>
      </c>
      <c r="D18" s="24" t="s">
        <v>59</v>
      </c>
      <c r="E18" s="25">
        <v>25</v>
      </c>
      <c r="F18" s="25">
        <v>1</v>
      </c>
      <c r="G18" s="26">
        <v>0.04</v>
      </c>
      <c r="H18" s="25">
        <v>0</v>
      </c>
      <c r="I18" s="26">
        <v>0</v>
      </c>
    </row>
    <row r="19" spans="2:9" ht="17.5" x14ac:dyDescent="0.65">
      <c r="B19" s="24" t="s">
        <v>39</v>
      </c>
      <c r="C19" s="24" t="s">
        <v>59</v>
      </c>
      <c r="D19" s="24" t="s">
        <v>34</v>
      </c>
      <c r="E19" s="25">
        <v>22</v>
      </c>
      <c r="F19" s="25">
        <v>12</v>
      </c>
      <c r="G19" s="26">
        <v>0.54549999999999998</v>
      </c>
      <c r="H19" s="25">
        <v>0</v>
      </c>
      <c r="I19" s="26">
        <v>0</v>
      </c>
    </row>
    <row r="20" spans="2:9" ht="17.5" x14ac:dyDescent="0.65">
      <c r="B20" s="24" t="s">
        <v>39</v>
      </c>
      <c r="C20" s="24" t="s">
        <v>59</v>
      </c>
      <c r="D20" s="24" t="s">
        <v>39</v>
      </c>
      <c r="E20" s="25">
        <v>52</v>
      </c>
      <c r="F20" s="25">
        <v>16</v>
      </c>
      <c r="G20" s="26">
        <v>0.30769999999999997</v>
      </c>
      <c r="H20" s="25">
        <v>0</v>
      </c>
      <c r="I20" s="26">
        <v>0</v>
      </c>
    </row>
    <row r="21" spans="2:9" ht="17.5" x14ac:dyDescent="0.65">
      <c r="B21" s="24" t="s">
        <v>39</v>
      </c>
      <c r="C21" s="24" t="s">
        <v>53</v>
      </c>
      <c r="D21" s="24" t="s">
        <v>31</v>
      </c>
      <c r="E21" s="25">
        <v>35</v>
      </c>
      <c r="F21" s="25">
        <v>2</v>
      </c>
      <c r="G21" s="26">
        <v>5.7099999999999998E-2</v>
      </c>
      <c r="H21" s="25">
        <v>0</v>
      </c>
      <c r="I21" s="26">
        <v>0</v>
      </c>
    </row>
    <row r="22" spans="2:9" ht="17.5" x14ac:dyDescent="0.65">
      <c r="B22" s="24" t="s">
        <v>39</v>
      </c>
      <c r="C22" s="24" t="s">
        <v>53</v>
      </c>
      <c r="D22" s="24" t="s">
        <v>36</v>
      </c>
      <c r="E22" s="25">
        <v>18</v>
      </c>
      <c r="F22" s="25">
        <v>1</v>
      </c>
      <c r="G22" s="26">
        <v>5.5599999999999997E-2</v>
      </c>
      <c r="H22" s="25">
        <v>0</v>
      </c>
      <c r="I22" s="26">
        <v>0</v>
      </c>
    </row>
    <row r="23" spans="2:9" ht="17.5" x14ac:dyDescent="0.65">
      <c r="B23" s="24" t="s">
        <v>39</v>
      </c>
      <c r="C23" s="24" t="s">
        <v>53</v>
      </c>
      <c r="D23" s="24" t="s">
        <v>78</v>
      </c>
      <c r="E23" s="25">
        <v>20</v>
      </c>
      <c r="F23" s="25">
        <v>10</v>
      </c>
      <c r="G23" s="26">
        <v>0.5</v>
      </c>
      <c r="H23" s="25">
        <v>0</v>
      </c>
      <c r="I23" s="26">
        <v>0</v>
      </c>
    </row>
    <row r="24" spans="2:9" ht="17.5" x14ac:dyDescent="0.65">
      <c r="B24" s="24" t="s">
        <v>39</v>
      </c>
      <c r="C24" s="24" t="s">
        <v>60</v>
      </c>
      <c r="D24" s="24" t="s">
        <v>28</v>
      </c>
      <c r="E24" s="25">
        <v>28</v>
      </c>
      <c r="F24" s="25">
        <v>0</v>
      </c>
      <c r="G24" s="26">
        <v>0</v>
      </c>
      <c r="H24" s="25">
        <v>0</v>
      </c>
      <c r="I24" s="26">
        <v>0</v>
      </c>
    </row>
    <row r="25" spans="2:9" ht="17.5" x14ac:dyDescent="0.65">
      <c r="B25" s="24" t="s">
        <v>39</v>
      </c>
      <c r="C25" s="24" t="s">
        <v>60</v>
      </c>
      <c r="D25" s="24" t="s">
        <v>25</v>
      </c>
      <c r="E25" s="25">
        <v>21</v>
      </c>
      <c r="F25" s="25">
        <v>11</v>
      </c>
      <c r="G25" s="26">
        <v>0.52380000000000004</v>
      </c>
      <c r="H25" s="25">
        <v>0</v>
      </c>
      <c r="I25" s="26">
        <v>0</v>
      </c>
    </row>
    <row r="26" spans="2:9" ht="17.5" x14ac:dyDescent="0.65">
      <c r="B26" s="24" t="s">
        <v>39</v>
      </c>
      <c r="C26" s="24" t="s">
        <v>58</v>
      </c>
      <c r="D26" s="24" t="s">
        <v>25</v>
      </c>
      <c r="E26" s="25">
        <v>90</v>
      </c>
      <c r="F26" s="25">
        <v>11</v>
      </c>
      <c r="G26" s="26">
        <v>0.1222</v>
      </c>
      <c r="H26" s="25">
        <v>0</v>
      </c>
      <c r="I26" s="26">
        <v>0</v>
      </c>
    </row>
    <row r="27" spans="2:9" ht="17.5" x14ac:dyDescent="0.65">
      <c r="B27" s="24" t="s">
        <v>19</v>
      </c>
      <c r="C27" s="24" t="s">
        <v>27</v>
      </c>
      <c r="D27" s="24" t="s">
        <v>27</v>
      </c>
      <c r="E27" s="25">
        <v>3</v>
      </c>
      <c r="F27" s="25">
        <v>2</v>
      </c>
      <c r="G27" s="26">
        <v>0.66669999999999996</v>
      </c>
      <c r="H27" s="25">
        <v>0</v>
      </c>
      <c r="I27" s="26">
        <v>0</v>
      </c>
    </row>
    <row r="28" spans="2:9" ht="17.5" x14ac:dyDescent="0.65">
      <c r="B28" s="24" t="s">
        <v>19</v>
      </c>
      <c r="C28" s="24" t="s">
        <v>27</v>
      </c>
      <c r="D28" s="24" t="s">
        <v>20</v>
      </c>
      <c r="E28" s="25">
        <v>13</v>
      </c>
      <c r="F28" s="25">
        <v>7</v>
      </c>
      <c r="G28" s="26">
        <v>0.53849999999999998</v>
      </c>
      <c r="H28" s="25">
        <v>1</v>
      </c>
      <c r="I28" s="26">
        <v>0.1429</v>
      </c>
    </row>
    <row r="29" spans="2:9" ht="17.5" x14ac:dyDescent="0.65">
      <c r="B29" s="24" t="s">
        <v>19</v>
      </c>
      <c r="C29" s="24" t="s">
        <v>27</v>
      </c>
      <c r="D29" s="24" t="s">
        <v>79</v>
      </c>
      <c r="E29" s="25">
        <v>57</v>
      </c>
      <c r="F29" s="25">
        <v>19</v>
      </c>
      <c r="G29" s="26">
        <v>0.33329999999999999</v>
      </c>
      <c r="H29" s="25">
        <v>1</v>
      </c>
      <c r="I29" s="26">
        <v>5.2600000000000001E-2</v>
      </c>
    </row>
    <row r="30" spans="2:9" ht="17.5" x14ac:dyDescent="0.65">
      <c r="B30" s="24" t="s">
        <v>19</v>
      </c>
      <c r="C30" s="24" t="s">
        <v>37</v>
      </c>
      <c r="D30" s="24" t="s">
        <v>24</v>
      </c>
      <c r="E30" s="25">
        <v>26</v>
      </c>
      <c r="F30" s="25">
        <v>4</v>
      </c>
      <c r="G30" s="26">
        <v>0.15379999999999999</v>
      </c>
      <c r="H30" s="25">
        <v>1</v>
      </c>
      <c r="I30" s="26">
        <v>0.25</v>
      </c>
    </row>
    <row r="31" spans="2:9" ht="17.5" x14ac:dyDescent="0.65">
      <c r="B31" s="24" t="s">
        <v>19</v>
      </c>
      <c r="C31" s="24" t="s">
        <v>37</v>
      </c>
      <c r="D31" s="24" t="s">
        <v>23</v>
      </c>
      <c r="E31" s="25">
        <v>13</v>
      </c>
      <c r="F31" s="25">
        <v>0</v>
      </c>
      <c r="G31" s="26">
        <v>0</v>
      </c>
      <c r="H31" s="25">
        <v>0</v>
      </c>
      <c r="I31" s="26">
        <v>0</v>
      </c>
    </row>
    <row r="32" spans="2:9" ht="17.5" x14ac:dyDescent="0.65">
      <c r="B32" s="24" t="s">
        <v>19</v>
      </c>
      <c r="C32" s="24" t="s">
        <v>19</v>
      </c>
      <c r="D32" s="24" t="s">
        <v>80</v>
      </c>
      <c r="E32" s="25">
        <v>32</v>
      </c>
      <c r="F32" s="25">
        <v>12</v>
      </c>
      <c r="G32" s="26">
        <v>0.375</v>
      </c>
      <c r="H32" s="25">
        <v>2</v>
      </c>
      <c r="I32" s="26">
        <v>0.16669999999999999</v>
      </c>
    </row>
    <row r="33" spans="2:9" ht="17.5" x14ac:dyDescent="0.65">
      <c r="B33" s="24" t="s">
        <v>19</v>
      </c>
      <c r="C33" s="24" t="s">
        <v>19</v>
      </c>
      <c r="D33" s="24" t="s">
        <v>35</v>
      </c>
      <c r="E33" s="25">
        <v>49</v>
      </c>
      <c r="F33" s="25">
        <v>25</v>
      </c>
      <c r="G33" s="26">
        <v>0.51019999999999999</v>
      </c>
      <c r="H33" s="25">
        <v>1</v>
      </c>
      <c r="I33" s="26">
        <v>0.04</v>
      </c>
    </row>
    <row r="34" spans="2:9" ht="17.5" x14ac:dyDescent="0.65">
      <c r="B34" s="24" t="s">
        <v>19</v>
      </c>
      <c r="C34" s="24" t="s">
        <v>19</v>
      </c>
      <c r="D34" s="24" t="s">
        <v>81</v>
      </c>
      <c r="E34" s="25">
        <v>10</v>
      </c>
      <c r="F34" s="25">
        <v>7</v>
      </c>
      <c r="G34" s="26">
        <v>0.7</v>
      </c>
      <c r="H34" s="25">
        <v>4</v>
      </c>
      <c r="I34" s="26">
        <v>0.57140000000000002</v>
      </c>
    </row>
    <row r="35" spans="2:9" ht="17.5" x14ac:dyDescent="0.65">
      <c r="B35" s="24" t="s">
        <v>21</v>
      </c>
      <c r="C35" s="24" t="s">
        <v>56</v>
      </c>
      <c r="D35" s="24" t="s">
        <v>82</v>
      </c>
      <c r="E35" s="25">
        <v>38</v>
      </c>
      <c r="F35" s="25">
        <v>8</v>
      </c>
      <c r="G35" s="26">
        <v>0.21049999999999999</v>
      </c>
      <c r="H35" s="25">
        <v>1</v>
      </c>
      <c r="I35" s="26">
        <v>0.125</v>
      </c>
    </row>
    <row r="36" spans="2:9" ht="17.5" x14ac:dyDescent="0.65">
      <c r="B36" s="24" t="s">
        <v>21</v>
      </c>
      <c r="C36" s="24" t="s">
        <v>56</v>
      </c>
      <c r="D36" s="24" t="s">
        <v>83</v>
      </c>
      <c r="E36" s="25">
        <v>27</v>
      </c>
      <c r="F36" s="25">
        <v>39</v>
      </c>
      <c r="G36" s="26">
        <v>1.4443999999999999</v>
      </c>
      <c r="H36" s="25">
        <v>0</v>
      </c>
      <c r="I36" s="26">
        <v>0</v>
      </c>
    </row>
    <row r="37" spans="2:9" ht="17.5" x14ac:dyDescent="0.65">
      <c r="B37" s="24" t="s">
        <v>21</v>
      </c>
      <c r="C37" s="24" t="s">
        <v>56</v>
      </c>
      <c r="D37" s="24" t="s">
        <v>29</v>
      </c>
      <c r="E37" s="25">
        <v>8</v>
      </c>
      <c r="F37" s="25">
        <v>17</v>
      </c>
      <c r="G37" s="26">
        <v>2.125</v>
      </c>
      <c r="H37" s="25">
        <v>0</v>
      </c>
      <c r="I37" s="26">
        <v>0</v>
      </c>
    </row>
    <row r="38" spans="2:9" ht="17.5" x14ac:dyDescent="0.65">
      <c r="B38" s="24" t="s">
        <v>21</v>
      </c>
      <c r="C38" s="24" t="s">
        <v>50</v>
      </c>
      <c r="D38" s="24" t="s">
        <v>84</v>
      </c>
      <c r="E38" s="25">
        <v>17</v>
      </c>
      <c r="F38" s="25">
        <v>15</v>
      </c>
      <c r="G38" s="26">
        <v>0.88239999999999996</v>
      </c>
      <c r="H38" s="25">
        <v>0</v>
      </c>
      <c r="I38" s="26">
        <v>0</v>
      </c>
    </row>
    <row r="39" spans="2:9" ht="17.5" x14ac:dyDescent="0.65">
      <c r="B39" s="24" t="s">
        <v>21</v>
      </c>
      <c r="C39" s="24" t="s">
        <v>50</v>
      </c>
      <c r="D39" s="24" t="s">
        <v>83</v>
      </c>
      <c r="E39" s="25">
        <v>56</v>
      </c>
      <c r="F39" s="25">
        <v>39</v>
      </c>
      <c r="G39" s="26">
        <v>0.69640000000000002</v>
      </c>
      <c r="H39" s="25">
        <v>0</v>
      </c>
      <c r="I39" s="26">
        <v>0</v>
      </c>
    </row>
    <row r="40" spans="2:9" ht="17.5" x14ac:dyDescent="0.65">
      <c r="B40" s="24" t="s">
        <v>21</v>
      </c>
      <c r="C40" s="24" t="s">
        <v>50</v>
      </c>
      <c r="D40" s="24" t="s">
        <v>29</v>
      </c>
      <c r="E40" s="25">
        <v>12</v>
      </c>
      <c r="F40" s="25">
        <v>17</v>
      </c>
      <c r="G40" s="26">
        <v>1.4167000000000001</v>
      </c>
      <c r="H40" s="25">
        <v>0</v>
      </c>
      <c r="I40" s="26">
        <v>0</v>
      </c>
    </row>
    <row r="41" spans="2:9" x14ac:dyDescent="0.35">
      <c r="B41" s="33"/>
      <c r="C41" s="33"/>
      <c r="D41" s="33"/>
      <c r="E41" s="34"/>
      <c r="F41" s="34"/>
      <c r="G41" s="34"/>
      <c r="H41" s="34"/>
      <c r="I41" s="34"/>
    </row>
    <row r="42" spans="2:9" ht="17.5" x14ac:dyDescent="0.65">
      <c r="B42" s="48" t="s">
        <v>41</v>
      </c>
      <c r="C42" s="49"/>
      <c r="D42" s="50"/>
      <c r="E42" s="25">
        <v>165</v>
      </c>
      <c r="F42" s="25">
        <v>9</v>
      </c>
      <c r="G42" s="26">
        <v>5.45E-2</v>
      </c>
      <c r="H42" s="25">
        <v>1</v>
      </c>
      <c r="I42" s="26">
        <v>0.1111</v>
      </c>
    </row>
    <row r="43" spans="2:9" ht="17.5" x14ac:dyDescent="0.65">
      <c r="B43" s="48" t="s">
        <v>11</v>
      </c>
      <c r="C43" s="49"/>
      <c r="D43" s="50"/>
      <c r="E43" s="25">
        <v>189</v>
      </c>
      <c r="F43" s="25">
        <v>6</v>
      </c>
      <c r="G43" s="26">
        <v>3.1699999999999999E-2</v>
      </c>
      <c r="H43" s="25">
        <v>1</v>
      </c>
      <c r="I43" s="26">
        <v>0.16669999999999999</v>
      </c>
    </row>
    <row r="44" spans="2:9" ht="17.5" x14ac:dyDescent="0.65">
      <c r="B44" s="48" t="s">
        <v>40</v>
      </c>
      <c r="C44" s="49"/>
      <c r="D44" s="50"/>
      <c r="E44" s="25">
        <v>174</v>
      </c>
      <c r="F44" s="25">
        <v>2</v>
      </c>
      <c r="G44" s="26">
        <v>1.15E-2</v>
      </c>
      <c r="H44" s="25">
        <v>1</v>
      </c>
      <c r="I44" s="26">
        <v>0.5</v>
      </c>
    </row>
    <row r="45" spans="2:9" ht="17.5" x14ac:dyDescent="0.65">
      <c r="B45" s="48" t="s">
        <v>39</v>
      </c>
      <c r="C45" s="49"/>
      <c r="D45" s="50"/>
      <c r="E45" s="25">
        <v>311</v>
      </c>
      <c r="F45" s="25">
        <v>64</v>
      </c>
      <c r="G45" s="26">
        <v>0.20580000000000001</v>
      </c>
      <c r="H45" s="25">
        <v>0</v>
      </c>
      <c r="I45" s="26">
        <v>0</v>
      </c>
    </row>
    <row r="46" spans="2:9" ht="17.5" x14ac:dyDescent="0.65">
      <c r="B46" s="48" t="s">
        <v>19</v>
      </c>
      <c r="C46" s="49"/>
      <c r="D46" s="50"/>
      <c r="E46" s="25">
        <v>203</v>
      </c>
      <c r="F46" s="25">
        <v>76</v>
      </c>
      <c r="G46" s="26">
        <v>0.37440000000000001</v>
      </c>
      <c r="H46" s="25">
        <v>10</v>
      </c>
      <c r="I46" s="26">
        <v>0.13159999999999999</v>
      </c>
    </row>
    <row r="47" spans="2:9" ht="17.5" x14ac:dyDescent="0.65">
      <c r="B47" s="48" t="s">
        <v>21</v>
      </c>
      <c r="C47" s="49"/>
      <c r="D47" s="50"/>
      <c r="E47" s="25">
        <v>158</v>
      </c>
      <c r="F47" s="25">
        <v>135</v>
      </c>
      <c r="G47" s="26">
        <v>0.85440000000000005</v>
      </c>
      <c r="H47" s="25">
        <v>1</v>
      </c>
      <c r="I47" s="26">
        <v>7.4000000000000003E-3</v>
      </c>
    </row>
    <row r="48" spans="2:9" ht="17.5" x14ac:dyDescent="0.65">
      <c r="B48" s="45" t="s">
        <v>66</v>
      </c>
      <c r="C48" s="46"/>
      <c r="D48" s="47"/>
      <c r="E48" s="31">
        <v>1200</v>
      </c>
      <c r="F48" s="28">
        <v>292</v>
      </c>
      <c r="G48" s="32">
        <v>0.24329999999999999</v>
      </c>
      <c r="H48" s="28">
        <v>14</v>
      </c>
      <c r="I48" s="32">
        <v>4.7899999999999998E-2</v>
      </c>
    </row>
    <row r="50" spans="3:3" x14ac:dyDescent="0.35">
      <c r="C50" s="52" t="s">
        <v>93</v>
      </c>
    </row>
  </sheetData>
  <mergeCells count="7">
    <mergeCell ref="B48:D48"/>
    <mergeCell ref="B42:D42"/>
    <mergeCell ref="B43:D43"/>
    <mergeCell ref="B44:D44"/>
    <mergeCell ref="B45:D45"/>
    <mergeCell ref="B46:D46"/>
    <mergeCell ref="B47:D47"/>
  </mergeCells>
  <conditionalFormatting sqref="G4:G47">
    <cfRule type="colorScale" priority="1">
      <colorScale>
        <cfvo type="min"/>
        <cfvo type="percentile" val="50"/>
        <cfvo type="num" val="1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886E-B10E-4195-89FE-0F8B95A5FBB6}">
  <dimension ref="B3:H23"/>
  <sheetViews>
    <sheetView topLeftCell="A7" workbookViewId="0">
      <selection activeCell="B23" sqref="B23"/>
    </sheetView>
  </sheetViews>
  <sheetFormatPr defaultRowHeight="14.5" x14ac:dyDescent="0.35"/>
  <cols>
    <col min="2" max="2" width="18.453125" customWidth="1"/>
    <col min="3" max="3" width="25" bestFit="1" customWidth="1"/>
    <col min="4" max="4" width="9.81640625" bestFit="1" customWidth="1"/>
    <col min="5" max="5" width="10.1796875" customWidth="1"/>
    <col min="6" max="6" width="9.36328125" customWidth="1"/>
    <col min="7" max="7" width="9.26953125" customWidth="1"/>
    <col min="8" max="8" width="10.36328125" customWidth="1"/>
  </cols>
  <sheetData>
    <row r="3" spans="2:8" ht="20" x14ac:dyDescent="0.85">
      <c r="B3" s="35" t="s">
        <v>85</v>
      </c>
      <c r="C3" s="41"/>
      <c r="D3" s="41"/>
      <c r="E3" s="41"/>
      <c r="F3" s="41"/>
      <c r="G3" s="41"/>
      <c r="H3" s="42">
        <v>46241</v>
      </c>
    </row>
    <row r="4" spans="2:8" ht="31" x14ac:dyDescent="0.35">
      <c r="B4" s="38" t="s">
        <v>43</v>
      </c>
      <c r="C4" s="38" t="s">
        <v>44</v>
      </c>
      <c r="D4" s="39" t="s">
        <v>86</v>
      </c>
      <c r="E4" s="39" t="s">
        <v>87</v>
      </c>
      <c r="F4" s="39" t="s">
        <v>88</v>
      </c>
      <c r="G4" s="39" t="s">
        <v>89</v>
      </c>
      <c r="H4" s="40" t="s">
        <v>90</v>
      </c>
    </row>
    <row r="5" spans="2:8" ht="17.5" x14ac:dyDescent="0.65">
      <c r="B5" s="24" t="s">
        <v>41</v>
      </c>
      <c r="C5" s="24" t="s">
        <v>32</v>
      </c>
      <c r="D5" s="25">
        <v>46</v>
      </c>
      <c r="E5" s="25">
        <v>17</v>
      </c>
      <c r="F5" s="26">
        <v>0.36959999999999998</v>
      </c>
      <c r="G5" s="25">
        <v>37</v>
      </c>
      <c r="H5" s="25">
        <v>1</v>
      </c>
    </row>
    <row r="6" spans="2:8" ht="17.5" x14ac:dyDescent="0.65">
      <c r="B6" s="24" t="s">
        <v>41</v>
      </c>
      <c r="C6" s="24" t="s">
        <v>51</v>
      </c>
      <c r="D6" s="25">
        <v>67</v>
      </c>
      <c r="E6" s="25">
        <v>20</v>
      </c>
      <c r="F6" s="26">
        <v>0.29849999999999999</v>
      </c>
      <c r="G6" s="25">
        <v>35</v>
      </c>
      <c r="H6" s="25">
        <v>0</v>
      </c>
    </row>
    <row r="7" spans="2:8" ht="17.5" x14ac:dyDescent="0.65">
      <c r="B7" s="24" t="s">
        <v>11</v>
      </c>
      <c r="C7" s="24" t="s">
        <v>13</v>
      </c>
      <c r="D7" s="25">
        <v>81</v>
      </c>
      <c r="E7" s="25">
        <v>26</v>
      </c>
      <c r="F7" s="26">
        <v>0.32100000000000001</v>
      </c>
      <c r="G7" s="25">
        <v>60</v>
      </c>
      <c r="H7" s="25">
        <v>1</v>
      </c>
    </row>
    <row r="8" spans="2:8" ht="17.5" x14ac:dyDescent="0.65">
      <c r="B8" s="24" t="s">
        <v>11</v>
      </c>
      <c r="C8" s="24" t="s">
        <v>57</v>
      </c>
      <c r="D8" s="25">
        <v>97</v>
      </c>
      <c r="E8" s="25">
        <v>36</v>
      </c>
      <c r="F8" s="26">
        <v>0.37109999999999999</v>
      </c>
      <c r="G8" s="25">
        <v>90</v>
      </c>
      <c r="H8" s="25">
        <v>4</v>
      </c>
    </row>
    <row r="9" spans="2:8" ht="17.5" x14ac:dyDescent="0.65">
      <c r="B9" s="24" t="s">
        <v>11</v>
      </c>
      <c r="C9" s="24" t="s">
        <v>52</v>
      </c>
      <c r="D9" s="25">
        <v>54</v>
      </c>
      <c r="E9" s="25">
        <v>22</v>
      </c>
      <c r="F9" s="26">
        <v>0.40739999999999998</v>
      </c>
      <c r="G9" s="25">
        <v>58</v>
      </c>
      <c r="H9" s="25">
        <v>2</v>
      </c>
    </row>
    <row r="10" spans="2:8" ht="17.5" x14ac:dyDescent="0.65">
      <c r="B10" s="24" t="s">
        <v>40</v>
      </c>
      <c r="C10" s="24" t="s">
        <v>55</v>
      </c>
      <c r="D10" s="25">
        <v>90</v>
      </c>
      <c r="E10" s="25">
        <v>30</v>
      </c>
      <c r="F10" s="26">
        <v>0.33329999999999999</v>
      </c>
      <c r="G10" s="25">
        <v>66</v>
      </c>
      <c r="H10" s="25">
        <v>1</v>
      </c>
    </row>
    <row r="11" spans="2:8" ht="17.5" x14ac:dyDescent="0.65">
      <c r="B11" s="24" t="s">
        <v>40</v>
      </c>
      <c r="C11" s="24" t="s">
        <v>54</v>
      </c>
      <c r="D11" s="25">
        <v>41</v>
      </c>
      <c r="E11" s="25">
        <v>18</v>
      </c>
      <c r="F11" s="26">
        <v>0.439</v>
      </c>
      <c r="G11" s="25">
        <v>53</v>
      </c>
      <c r="H11" s="25">
        <v>2</v>
      </c>
    </row>
    <row r="12" spans="2:8" ht="17.5" x14ac:dyDescent="0.65">
      <c r="B12" s="24" t="s">
        <v>39</v>
      </c>
      <c r="C12" s="24" t="s">
        <v>53</v>
      </c>
      <c r="D12" s="25">
        <v>117</v>
      </c>
      <c r="E12" s="25">
        <v>44</v>
      </c>
      <c r="F12" s="26">
        <v>0.37609999999999999</v>
      </c>
      <c r="G12" s="25">
        <v>133</v>
      </c>
      <c r="H12" s="25">
        <v>9</v>
      </c>
    </row>
    <row r="13" spans="2:8" ht="17.5" x14ac:dyDescent="0.65">
      <c r="B13" s="24" t="s">
        <v>39</v>
      </c>
      <c r="C13" s="24" t="s">
        <v>59</v>
      </c>
      <c r="D13" s="25">
        <v>53</v>
      </c>
      <c r="E13" s="25">
        <v>13</v>
      </c>
      <c r="F13" s="26">
        <v>0.24529999999999999</v>
      </c>
      <c r="G13" s="25">
        <v>23</v>
      </c>
      <c r="H13" s="25">
        <v>0</v>
      </c>
    </row>
    <row r="14" spans="2:8" ht="17.5" x14ac:dyDescent="0.65">
      <c r="B14" s="24" t="s">
        <v>39</v>
      </c>
      <c r="C14" s="24" t="s">
        <v>60</v>
      </c>
      <c r="D14" s="25">
        <v>59</v>
      </c>
      <c r="E14" s="25">
        <v>21</v>
      </c>
      <c r="F14" s="26">
        <v>0.35589999999999999</v>
      </c>
      <c r="G14" s="25">
        <v>36</v>
      </c>
      <c r="H14" s="25">
        <v>1</v>
      </c>
    </row>
    <row r="15" spans="2:8" ht="17.5" x14ac:dyDescent="0.65">
      <c r="B15" s="24" t="s">
        <v>39</v>
      </c>
      <c r="C15" s="24" t="s">
        <v>58</v>
      </c>
      <c r="D15" s="25">
        <v>78</v>
      </c>
      <c r="E15" s="25">
        <v>27</v>
      </c>
      <c r="F15" s="26">
        <v>0.34620000000000001</v>
      </c>
      <c r="G15" s="25">
        <v>51</v>
      </c>
      <c r="H15" s="25">
        <v>0</v>
      </c>
    </row>
    <row r="16" spans="2:8" ht="17.5" x14ac:dyDescent="0.65">
      <c r="B16" s="24" t="s">
        <v>19</v>
      </c>
      <c r="C16" s="24" t="s">
        <v>19</v>
      </c>
      <c r="D16" s="25">
        <v>75</v>
      </c>
      <c r="E16" s="25">
        <v>17</v>
      </c>
      <c r="F16" s="26">
        <v>0.22670000000000001</v>
      </c>
      <c r="G16" s="25">
        <v>25</v>
      </c>
      <c r="H16" s="25">
        <v>0</v>
      </c>
    </row>
    <row r="17" spans="2:8" ht="17.5" x14ac:dyDescent="0.65">
      <c r="B17" s="24" t="s">
        <v>19</v>
      </c>
      <c r="C17" s="24" t="s">
        <v>37</v>
      </c>
      <c r="D17" s="25">
        <v>55</v>
      </c>
      <c r="E17" s="25">
        <v>24</v>
      </c>
      <c r="F17" s="26">
        <v>0.43640000000000001</v>
      </c>
      <c r="G17" s="25">
        <v>80</v>
      </c>
      <c r="H17" s="25">
        <v>3</v>
      </c>
    </row>
    <row r="18" spans="2:8" ht="17.5" x14ac:dyDescent="0.65">
      <c r="B18" s="24" t="s">
        <v>19</v>
      </c>
      <c r="C18" s="24" t="s">
        <v>27</v>
      </c>
      <c r="D18" s="25">
        <v>68</v>
      </c>
      <c r="E18" s="25">
        <v>25</v>
      </c>
      <c r="F18" s="26">
        <v>0.36759999999999998</v>
      </c>
      <c r="G18" s="25">
        <v>39</v>
      </c>
      <c r="H18" s="25">
        <v>0</v>
      </c>
    </row>
    <row r="19" spans="2:8" ht="17.5" x14ac:dyDescent="0.65">
      <c r="B19" s="24" t="s">
        <v>21</v>
      </c>
      <c r="C19" s="24" t="s">
        <v>56</v>
      </c>
      <c r="D19" s="25">
        <v>108</v>
      </c>
      <c r="E19" s="25">
        <v>30</v>
      </c>
      <c r="F19" s="26">
        <v>0.27779999999999999</v>
      </c>
      <c r="G19" s="25">
        <v>75</v>
      </c>
      <c r="H19" s="25">
        <v>1</v>
      </c>
    </row>
    <row r="20" spans="2:8" ht="17.5" x14ac:dyDescent="0.65">
      <c r="B20" s="24" t="s">
        <v>21</v>
      </c>
      <c r="C20" s="24" t="s">
        <v>50</v>
      </c>
      <c r="D20" s="25">
        <v>116</v>
      </c>
      <c r="E20" s="25">
        <v>28</v>
      </c>
      <c r="F20" s="26">
        <v>0.2414</v>
      </c>
      <c r="G20" s="25">
        <v>71</v>
      </c>
      <c r="H20" s="25">
        <v>2</v>
      </c>
    </row>
    <row r="21" spans="2:8" ht="17.5" x14ac:dyDescent="0.65">
      <c r="B21" s="30" t="s">
        <v>91</v>
      </c>
      <c r="C21" s="30"/>
      <c r="D21" s="31">
        <v>1205</v>
      </c>
      <c r="E21" s="28">
        <v>398</v>
      </c>
      <c r="F21" s="32">
        <v>0.33029999999999998</v>
      </c>
      <c r="G21" s="28">
        <v>932</v>
      </c>
      <c r="H21" s="28">
        <v>27</v>
      </c>
    </row>
    <row r="23" spans="2:8" x14ac:dyDescent="0.35">
      <c r="B23" s="51" t="s">
        <v>92</v>
      </c>
    </row>
  </sheetData>
  <conditionalFormatting sqref="H5:H2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caaddc-90a0-4995-b524-c269e4395a58}" enabled="1" method="Standard" siteId="{fc743075-93ed-4a5c-82c0-ca5eac9142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Area - Red Priority</vt:lpstr>
      <vt:lpstr>Area - HIT</vt:lpstr>
      <vt:lpstr>Region - Gadis Merdeka</vt:lpstr>
      <vt:lpstr>Region - Top Gun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willybrordus_b_satria</dc:creator>
  <cp:lastModifiedBy>willybrordus_b_satria</cp:lastModifiedBy>
  <dcterms:created xsi:type="dcterms:W3CDTF">2026-08-06T00:31:56Z</dcterms:created>
  <dcterms:modified xsi:type="dcterms:W3CDTF">2026-08-10T04:31:25Z</dcterms:modified>
</cp:coreProperties>
</file>